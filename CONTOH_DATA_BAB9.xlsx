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  <sheet xmlns:r="http://schemas.openxmlformats.org/officeDocument/2006/relationships" name="Kalkulasi 3 Metode" sheetId="2" state="visible" r:id="rId2"/>
    <sheet xmlns:r="http://schemas.openxmlformats.org/officeDocument/2006/relationships" name="Regresi Lin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2"/>
    </font>
    <font>
      <b val="1"/>
      <sz val="12"/>
    </font>
    <font>
      <b val="1"/>
      <sz val="11"/>
    </font>
    <font>
      <b val="1"/>
      <color rgb="00FFFFFF"/>
    </font>
    <font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028090"/>
        <bgColor rgb="00028090"/>
      </patternFill>
    </fill>
    <fill>
      <patternFill patternType="solid">
        <fgColor rgb="00F5F8FA"/>
        <bgColor rgb="00F5F8FA"/>
      </patternFill>
    </fill>
    <fill>
      <patternFill patternType="solid">
        <fgColor rgb="0000A896"/>
        <bgColor rgb="0000A8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4" fillId="0" borderId="0" pivotButton="0" quotePrefix="0" xfId="0"/>
    <xf numFmtId="0" fontId="5" fillId="4" borderId="1" pivotButton="0" quotePrefix="0" xfId="0"/>
    <xf numFmtId="2" fontId="0" fillId="0" borderId="1" applyAlignment="1" pivotButton="0" quotePrefix="0" xfId="0">
      <alignment horizontal="center"/>
    </xf>
    <xf numFmtId="0" fontId="6" fillId="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DATA HISTORIS PENJUALAN BUKU TULIS MEREK 'STUDY'</t>
        </is>
      </c>
    </row>
    <row r="3">
      <c r="A3" s="2" t="inlineStr">
        <is>
          <t>Bulan</t>
        </is>
      </c>
      <c r="B3" s="2" t="inlineStr">
        <is>
          <t>Penjualan (Rim)</t>
        </is>
      </c>
    </row>
    <row r="4">
      <c r="A4" s="3" t="inlineStr">
        <is>
          <t>Januari 2023</t>
        </is>
      </c>
      <c r="B4" s="4" t="n">
        <v>45</v>
      </c>
    </row>
    <row r="5">
      <c r="A5" s="5" t="inlineStr">
        <is>
          <t>Februari 2023</t>
        </is>
      </c>
      <c r="B5" s="6" t="n">
        <v>48</v>
      </c>
    </row>
    <row r="6">
      <c r="A6" s="3" t="inlineStr">
        <is>
          <t>Maret 2023</t>
        </is>
      </c>
      <c r="B6" s="4" t="n">
        <v>52</v>
      </c>
    </row>
    <row r="7">
      <c r="A7" s="5" t="inlineStr">
        <is>
          <t>April 2023</t>
        </is>
      </c>
      <c r="B7" s="6" t="n">
        <v>50</v>
      </c>
    </row>
    <row r="8">
      <c r="A8" s="3" t="inlineStr">
        <is>
          <t>Mei 2023</t>
        </is>
      </c>
      <c r="B8" s="4" t="n">
        <v>48</v>
      </c>
    </row>
    <row r="9">
      <c r="A9" s="5" t="inlineStr">
        <is>
          <t>Juni 2023</t>
        </is>
      </c>
      <c r="B9" s="6" t="n">
        <v>65</v>
      </c>
    </row>
    <row r="10">
      <c r="A10" s="3" t="inlineStr">
        <is>
          <t>Juli 2023</t>
        </is>
      </c>
      <c r="B10" s="4" t="n">
        <v>70</v>
      </c>
    </row>
    <row r="11">
      <c r="A11" s="5" t="inlineStr">
        <is>
          <t>Agustus 2023</t>
        </is>
      </c>
      <c r="B11" s="6" t="n">
        <v>72</v>
      </c>
    </row>
    <row r="12">
      <c r="A12" s="3" t="inlineStr">
        <is>
          <t>September 2023</t>
        </is>
      </c>
      <c r="B12" s="4" t="n">
        <v>68</v>
      </c>
    </row>
    <row r="13">
      <c r="A13" s="5" t="inlineStr">
        <is>
          <t>Oktober 2023</t>
        </is>
      </c>
      <c r="B13" s="6" t="n">
        <v>55</v>
      </c>
    </row>
    <row r="14">
      <c r="A14" s="3" t="inlineStr">
        <is>
          <t>November 2023</t>
        </is>
      </c>
      <c r="B14" s="4" t="n">
        <v>58</v>
      </c>
    </row>
    <row r="15">
      <c r="A15" s="5" t="inlineStr">
        <is>
          <t>Desember 2023</t>
        </is>
      </c>
      <c r="B15" s="6" t="n">
        <v>80</v>
      </c>
    </row>
    <row r="16">
      <c r="A16" s="3" t="inlineStr">
        <is>
          <t>Januari 2024</t>
        </is>
      </c>
      <c r="B16" s="4" t="n">
        <v>50</v>
      </c>
    </row>
    <row r="17">
      <c r="A17" s="5" t="inlineStr">
        <is>
          <t>Februari 2024</t>
        </is>
      </c>
      <c r="B17" s="6" t="n">
        <v>52</v>
      </c>
    </row>
    <row r="18">
      <c r="A18" s="3" t="inlineStr">
        <is>
          <t>Maret 2024</t>
        </is>
      </c>
      <c r="B18" s="4" t="n">
        <v>56</v>
      </c>
    </row>
    <row r="19">
      <c r="A19" s="5" t="inlineStr">
        <is>
          <t>April 2024</t>
        </is>
      </c>
      <c r="B19" s="6" t="n">
        <v>54</v>
      </c>
    </row>
    <row r="20">
      <c r="A20" s="3" t="inlineStr">
        <is>
          <t>Mei 2024</t>
        </is>
      </c>
      <c r="B20" s="4" t="n">
        <v>52</v>
      </c>
    </row>
    <row r="21">
      <c r="A21" s="5" t="inlineStr">
        <is>
          <t>Juni 2024</t>
        </is>
      </c>
      <c r="B21" s="6" t="n">
        <v>72</v>
      </c>
    </row>
    <row r="22">
      <c r="A22" s="3" t="inlineStr">
        <is>
          <t>Juli 2024</t>
        </is>
      </c>
      <c r="B22" s="4" t="n">
        <v>75</v>
      </c>
    </row>
    <row r="23">
      <c r="A23" s="5" t="inlineStr">
        <is>
          <t>Agustus 2024</t>
        </is>
      </c>
      <c r="B23" s="6" t="n">
        <v>78</v>
      </c>
    </row>
    <row r="24">
      <c r="A24" s="3" t="inlineStr">
        <is>
          <t>September 2024</t>
        </is>
      </c>
      <c r="B24" s="4" t="n">
        <v>74</v>
      </c>
    </row>
    <row r="25">
      <c r="A25" s="5" t="inlineStr">
        <is>
          <t>Oktober 2024</t>
        </is>
      </c>
      <c r="B25" s="6" t="n">
        <v>60</v>
      </c>
    </row>
    <row r="26">
      <c r="A26" s="3" t="inlineStr">
        <is>
          <t>November 2024</t>
        </is>
      </c>
      <c r="B26" s="4" t="n">
        <v>65</v>
      </c>
    </row>
    <row r="27">
      <c r="A27" s="5" t="inlineStr">
        <is>
          <t>Desember 2024</t>
        </is>
      </c>
      <c r="B27" s="6" t="n">
        <v>88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7" t="inlineStr">
        <is>
          <t>PERBANDINGAN 3 METODE PERAMALAN - SAMPLE HOLD-OUT (JAN-MAR 2024)</t>
        </is>
      </c>
    </row>
    <row r="3">
      <c r="A3" s="8" t="inlineStr">
        <is>
          <t>Bulan</t>
        </is>
      </c>
      <c r="B3" s="8" t="inlineStr">
        <is>
          <t>Actual</t>
        </is>
      </c>
      <c r="C3" s="8" t="inlineStr">
        <is>
          <t>Naive</t>
        </is>
      </c>
      <c r="D3" s="8" t="inlineStr">
        <is>
          <t>MA-3</t>
        </is>
      </c>
      <c r="E3" s="8" t="inlineStr">
        <is>
          <t>Seasonal</t>
        </is>
      </c>
    </row>
    <row r="4">
      <c r="A4" s="5" t="inlineStr">
        <is>
          <t>Januari 2024</t>
        </is>
      </c>
      <c r="B4" s="6" t="n">
        <v>50</v>
      </c>
      <c r="C4" s="6" t="n">
        <v>88</v>
      </c>
      <c r="D4" s="6">
        <f>(B27+B26+B25)/3</f>
        <v/>
      </c>
      <c r="E4" s="6" t="n">
        <v>45</v>
      </c>
    </row>
    <row r="5">
      <c r="A5" s="5" t="inlineStr">
        <is>
          <t>Februari 2024</t>
        </is>
      </c>
      <c r="B5" s="6" t="n">
        <v>52</v>
      </c>
      <c r="C5" s="6" t="n">
        <v>50</v>
      </c>
      <c r="D5" s="6">
        <f>(B28+B27+B26)/3</f>
        <v/>
      </c>
      <c r="E5" s="6" t="n">
        <v>48</v>
      </c>
    </row>
    <row r="6">
      <c r="A6" s="5" t="inlineStr">
        <is>
          <t>Maret 2024</t>
        </is>
      </c>
      <c r="B6" s="6" t="n">
        <v>56</v>
      </c>
      <c r="C6" s="6" t="n">
        <v>52</v>
      </c>
      <c r="D6" s="6">
        <f>(B29+B28+B27)/3</f>
        <v/>
      </c>
      <c r="E6" s="6" t="n">
        <v>52</v>
      </c>
    </row>
    <row r="9">
      <c r="A9" s="9" t="inlineStr">
        <is>
          <t>PERHITUNGAN AKURASI (MAPE)</t>
        </is>
      </c>
    </row>
    <row r="11">
      <c r="A11" s="10" t="inlineStr">
        <is>
          <t>Metode</t>
        </is>
      </c>
      <c r="B11" s="10" t="inlineStr">
        <is>
          <t>Error %</t>
        </is>
      </c>
      <c r="C11" s="10" t="inlineStr">
        <is>
          <t>Error %</t>
        </is>
      </c>
      <c r="D11" s="10" t="inlineStr">
        <is>
          <t>Error %</t>
        </is>
      </c>
      <c r="E11" s="10" t="inlineStr">
        <is>
          <t>MAPE</t>
        </is>
      </c>
    </row>
    <row r="12">
      <c r="A12" s="5" t="inlineStr">
        <is>
          <t>Naive</t>
        </is>
      </c>
      <c r="B12" s="11">
        <f>ABS((B4-C4)/B4)*100</f>
        <v/>
      </c>
      <c r="C12" s="11">
        <f>ABS((B5-C5)/B5)*100</f>
        <v/>
      </c>
      <c r="D12" s="11">
        <f>ABS((B6-C6)/B6)*100</f>
        <v/>
      </c>
      <c r="E12" s="11">
        <f>AVERAGE(B12:D12)</f>
        <v/>
      </c>
    </row>
    <row r="13">
      <c r="A13" s="5" t="inlineStr">
        <is>
          <t>Moving Avg-3</t>
        </is>
      </c>
      <c r="B13" s="11">
        <f>ABS((B4-D4)/B4)*100</f>
        <v/>
      </c>
      <c r="C13" s="11">
        <f>ABS((B5-D5)/B5)*100</f>
        <v/>
      </c>
      <c r="D13" s="11">
        <f>ABS((B6-D6)/B6)*100</f>
        <v/>
      </c>
      <c r="E13" s="11">
        <f>AVERAGE(B13:D13)</f>
        <v/>
      </c>
    </row>
    <row r="14">
      <c r="A14" s="5" t="inlineStr">
        <is>
          <t>Seasonal Naive</t>
        </is>
      </c>
      <c r="B14" s="11">
        <f>ABS((B4-E4)/B4)*100</f>
        <v/>
      </c>
      <c r="C14" s="11">
        <f>ABS((B5-E5)/B5)*100</f>
        <v/>
      </c>
      <c r="D14" s="11">
        <f>ABS((B6-E6)/B6)*100</f>
        <v/>
      </c>
      <c r="E14" s="11">
        <f>AVERAGE(B14:D14)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</cols>
  <sheetData>
    <row r="1">
      <c r="A1" s="7" t="inlineStr">
        <is>
          <t>CONTOH REGRESI LINEAR: PENJUALAN vs BIAYA IKLAN</t>
        </is>
      </c>
    </row>
    <row r="3">
      <c r="A3" s="8" t="inlineStr">
        <is>
          <t>Bulan</t>
        </is>
      </c>
      <c r="B3" s="8" t="inlineStr">
        <is>
          <t>Biaya Iklan (juta Rp)</t>
        </is>
      </c>
      <c r="C3" s="8" t="inlineStr">
        <is>
          <t>Penjualan (rim)</t>
        </is>
      </c>
    </row>
    <row r="4">
      <c r="A4" s="5" t="inlineStr">
        <is>
          <t>Januari 2024</t>
        </is>
      </c>
      <c r="B4" s="6" t="n">
        <v>5</v>
      </c>
      <c r="C4" s="6" t="n">
        <v>50</v>
      </c>
    </row>
    <row r="5">
      <c r="A5" s="5" t="inlineStr">
        <is>
          <t>Februari 2024</t>
        </is>
      </c>
      <c r="B5" s="6" t="n">
        <v>6</v>
      </c>
      <c r="C5" s="6" t="n">
        <v>52</v>
      </c>
    </row>
    <row r="6">
      <c r="A6" s="5" t="inlineStr">
        <is>
          <t>Maret 2024</t>
        </is>
      </c>
      <c r="B6" s="6" t="n">
        <v>8</v>
      </c>
      <c r="C6" s="6" t="n">
        <v>56</v>
      </c>
    </row>
    <row r="7">
      <c r="A7" s="5" t="inlineStr">
        <is>
          <t>April 2024</t>
        </is>
      </c>
      <c r="B7" s="6" t="n">
        <v>7</v>
      </c>
      <c r="C7" s="6" t="n">
        <v>54</v>
      </c>
    </row>
    <row r="8">
      <c r="A8" s="5" t="inlineStr">
        <is>
          <t>Mei 2024</t>
        </is>
      </c>
      <c r="B8" s="6" t="n">
        <v>6</v>
      </c>
      <c r="C8" s="6" t="n">
        <v>52</v>
      </c>
    </row>
    <row r="9">
      <c r="A9" s="5" t="inlineStr">
        <is>
          <t>Juni 2024</t>
        </is>
      </c>
      <c r="B9" s="6" t="n">
        <v>12</v>
      </c>
      <c r="C9" s="6" t="n">
        <v>72</v>
      </c>
    </row>
    <row r="10">
      <c r="A10" s="5" t="inlineStr">
        <is>
          <t>Juli 2024</t>
        </is>
      </c>
      <c r="B10" s="6" t="n">
        <v>13</v>
      </c>
      <c r="C10" s="6" t="n">
        <v>75</v>
      </c>
    </row>
    <row r="11">
      <c r="A11" s="5" t="inlineStr">
        <is>
          <t>Agustus 2024</t>
        </is>
      </c>
      <c r="B11" s="6" t="n">
        <v>14</v>
      </c>
      <c r="C11" s="6" t="n">
        <v>78</v>
      </c>
    </row>
    <row r="12">
      <c r="A12" s="5" t="inlineStr">
        <is>
          <t>September 2024</t>
        </is>
      </c>
      <c r="B12" s="6" t="n">
        <v>11</v>
      </c>
      <c r="C12" s="6" t="n">
        <v>74</v>
      </c>
    </row>
    <row r="13">
      <c r="A13" s="5" t="inlineStr">
        <is>
          <t>Oktober 2024</t>
        </is>
      </c>
      <c r="B13" s="6" t="n">
        <v>8</v>
      </c>
      <c r="C13" s="6" t="n">
        <v>60</v>
      </c>
    </row>
    <row r="16">
      <c r="A16" s="9" t="inlineStr">
        <is>
          <t>HASIL REGRESI:</t>
        </is>
      </c>
    </row>
    <row r="17">
      <c r="A17" t="inlineStr">
        <is>
          <t>Rumus: Penjualan = a + b × (Biaya Iklan)</t>
        </is>
      </c>
    </row>
    <row r="18">
      <c r="A18" t="inlineStr">
        <is>
          <t>Intercept (a) ≈</t>
        </is>
      </c>
      <c r="B18" t="n">
        <v>40</v>
      </c>
    </row>
    <row r="19">
      <c r="A19" t="inlineStr">
        <is>
          <t>Slope (b) ≈</t>
        </is>
      </c>
      <c r="B19" t="n">
        <v>3</v>
      </c>
    </row>
    <row r="20">
      <c r="A20" t="inlineStr">
        <is>
          <t>R² ≈</t>
        </is>
      </c>
      <c r="B20" t="n">
        <v>0.92</v>
      </c>
    </row>
    <row r="22">
      <c r="A22" s="12" t="inlineStr">
        <is>
          <t>INTERPRETASI:</t>
        </is>
      </c>
    </row>
    <row r="23">
      <c r="A23" t="inlineStr">
        <is>
          <t>• Intercept (40): Penjualan dasar tanpa iklan adalah 40 rim</t>
        </is>
      </c>
    </row>
    <row r="24">
      <c r="A24" t="inlineStr">
        <is>
          <t>• Slope (3.0): Setiap 1 juta iklan → penjualan naik 3 rim</t>
        </is>
      </c>
    </row>
    <row r="25">
      <c r="A25" t="inlineStr">
        <is>
          <t>• R² (0.92): Model menjelaskan 92% variasi penjualan</t>
        </is>
      </c>
    </row>
    <row r="27">
      <c r="A27" s="12" t="inlineStr">
        <is>
          <t>PREDIKSI:</t>
        </is>
      </c>
    </row>
    <row r="28">
      <c r="A28" t="inlineStr">
        <is>
          <t>Jika biaya iklan 15 juta Rp:</t>
        </is>
      </c>
      <c r="B28" s="13">
        <f> 40 + 3.0 × 15 = 85 rim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2026-04-20T23:36:05Z</dcterms:created>
  <dcterms:modified xmlns:dcterms="http://purl.org/dc/terms/" xmlns:xsi="http://www.w3.org/2001/XMLSchema-instance" xsi:type="dcterms:W3CDTF">2026-04-20T23:36:05Z</dcterms:modified>
</cp:coreProperties>
</file>